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ritchie/Desktop/data-projects/energy-use-products/"/>
    </mc:Choice>
  </mc:AlternateContent>
  <xr:revisionPtr revIDLastSave="0" documentId="13_ncr:1_{0B3513A6-C217-7745-8D99-059FFAF5D5D8}" xr6:coauthVersionLast="47" xr6:coauthVersionMax="47" xr10:uidLastSave="{00000000-0000-0000-0000-000000000000}"/>
  <bookViews>
    <workbookView xWindow="160" yWindow="840" windowWidth="27640" windowHeight="16460" xr2:uid="{E9F44B29-F67D-AA43-897E-E427581FB5C3}"/>
  </bookViews>
  <sheets>
    <sheet name="Electricit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3" i="1"/>
  <c r="E11" i="1"/>
  <c r="E12" i="1"/>
  <c r="E14" i="1"/>
  <c r="E23" i="1"/>
  <c r="E29" i="1"/>
  <c r="E30" i="1"/>
  <c r="E37" i="1"/>
  <c r="E36" i="1"/>
  <c r="E35" i="1"/>
  <c r="E34" i="1"/>
  <c r="E31" i="1"/>
  <c r="E24" i="1"/>
  <c r="E21" i="1"/>
  <c r="E20" i="1"/>
  <c r="E19" i="1"/>
  <c r="E18" i="1"/>
  <c r="D17" i="1"/>
  <c r="E17" i="1" s="1"/>
  <c r="E10" i="1"/>
  <c r="E9" i="1"/>
  <c r="E8" i="1"/>
  <c r="E7" i="1"/>
  <c r="E4" i="1"/>
  <c r="E3" i="1"/>
</calcChain>
</file>

<file path=xl/sharedStrings.xml><?xml version="1.0" encoding="utf-8"?>
<sst xmlns="http://schemas.openxmlformats.org/spreadsheetml/2006/main" count="76" uniqueCount="50">
  <si>
    <t>Product</t>
  </si>
  <si>
    <t>Energy rating (W)</t>
  </si>
  <si>
    <t>Hours per day</t>
  </si>
  <si>
    <t>Energy used (Wh)</t>
  </si>
  <si>
    <t>Lightbulb (incandescent)</t>
  </si>
  <si>
    <t>Lightbulb (LED)</t>
  </si>
  <si>
    <t>MacBook</t>
  </si>
  <si>
    <t>Older PC</t>
  </si>
  <si>
    <t>Microwave</t>
  </si>
  <si>
    <t>Boiling a kettle</t>
  </si>
  <si>
    <t>Oven</t>
  </si>
  <si>
    <t>Washing machine</t>
  </si>
  <si>
    <t>Tumble dryer</t>
  </si>
  <si>
    <t>Dishwasher</t>
  </si>
  <si>
    <t>Electric fan</t>
  </si>
  <si>
    <t>Electric heating</t>
  </si>
  <si>
    <t>Small desk heater</t>
  </si>
  <si>
    <t>Large space heater</t>
  </si>
  <si>
    <t>Electric heat pump</t>
  </si>
  <si>
    <t>Electric shower</t>
  </si>
  <si>
    <t>Watching TV (medium efficient)</t>
  </si>
  <si>
    <t>Watching TV (large modern)</t>
  </si>
  <si>
    <t>Air conditioning (Single Room)</t>
  </si>
  <si>
    <t>Air conditioning  (Multiple rooms)</t>
  </si>
  <si>
    <t>User selection</t>
  </si>
  <si>
    <t>Hours</t>
  </si>
  <si>
    <t>Number of cycles</t>
  </si>
  <si>
    <t>Miles driven</t>
  </si>
  <si>
    <t>Number of full boils</t>
  </si>
  <si>
    <t>Driving an e-scooter</t>
  </si>
  <si>
    <t>Driving  an electric car</t>
  </si>
  <si>
    <t>Charging a mobile phone</t>
  </si>
  <si>
    <t>Heating and cooling</t>
  </si>
  <si>
    <t>Driving</t>
  </si>
  <si>
    <t>Kitchen appliances</t>
  </si>
  <si>
    <t>Lighting</t>
  </si>
  <si>
    <t>Digital technologies</t>
  </si>
  <si>
    <t>ChatGPT median query</t>
  </si>
  <si>
    <t>Number of queries</t>
  </si>
  <si>
    <t>Streaming Netflix</t>
  </si>
  <si>
    <t>Hairdryer</t>
  </si>
  <si>
    <t>Driving an e-bike</t>
  </si>
  <si>
    <t>Gaming consoles (Xbox)</t>
  </si>
  <si>
    <t>Washing and drying</t>
  </si>
  <si>
    <t>Vaccum cleaner (hoover)</t>
  </si>
  <si>
    <t>Clothes iron</t>
  </si>
  <si>
    <t>Fridge (small)</t>
  </si>
  <si>
    <t>Fridge-freezer</t>
  </si>
  <si>
    <t>Streaming YouTube</t>
  </si>
  <si>
    <t>Reading on a Kindle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</si>
</sst>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nnahritchie/Documents/OWID%20Topics/4%20Resources%20&amp;%20Energy/Energy/Electricity%20consumption%20at%20different%20income%20levels/Electricity%20consumption%20at%20different%20income%20levels.xlsx" TargetMode="External"/><Relationship Id="rId1" Type="http://schemas.openxmlformats.org/officeDocument/2006/relationships/externalLinkPath" Target="/Users/hannahritchie/Documents/OWID%20Topics/4%20Resources%20&amp;%20Energy/Energy/Electricity%20consumption%20at%20different%20income%20levels/Electricity%20consumption%20at%20different%20income%20lev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 use of products"/>
      <sheetName val="For chart"/>
      <sheetName val="AC chart"/>
      <sheetName val="Fan chart"/>
      <sheetName val="Heating calculations"/>
      <sheetName val="Cooling calculations"/>
      <sheetName val="Script output"/>
      <sheetName val="Filtered and cleaned"/>
      <sheetName val="raw_iea_data"/>
      <sheetName val="Sheet1"/>
    </sheetNames>
    <sheetDataSet>
      <sheetData sheetId="0"/>
      <sheetData sheetId="1"/>
      <sheetData sheetId="2"/>
      <sheetData sheetId="3"/>
      <sheetData sheetId="4">
        <row r="5">
          <cell r="B5">
            <v>10.95890410958904</v>
          </cell>
        </row>
        <row r="10">
          <cell r="B10">
            <v>32.876712328767127</v>
          </cell>
        </row>
      </sheetData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42A6-C523-FF45-805D-8485BB9C76EC}">
  <dimension ref="A1:E41"/>
  <sheetViews>
    <sheetView tabSelected="1" workbookViewId="0">
      <selection activeCell="I30" sqref="I30"/>
    </sheetView>
  </sheetViews>
  <sheetFormatPr baseColWidth="10" defaultRowHeight="16" x14ac:dyDescent="0.2"/>
  <cols>
    <col min="1" max="1" width="29" customWidth="1"/>
    <col min="3" max="3" width="18.1640625" customWidth="1"/>
  </cols>
  <sheetData>
    <row r="1" spans="1:5" x14ac:dyDescent="0.2">
      <c r="A1" t="s">
        <v>0</v>
      </c>
      <c r="B1" t="s">
        <v>1</v>
      </c>
      <c r="C1" t="s">
        <v>24</v>
      </c>
      <c r="D1" t="s">
        <v>2</v>
      </c>
      <c r="E1" t="s">
        <v>3</v>
      </c>
    </row>
    <row r="2" spans="1:5" x14ac:dyDescent="0.2">
      <c r="A2" s="4" t="s">
        <v>35</v>
      </c>
    </row>
    <row r="3" spans="1:5" x14ac:dyDescent="0.2">
      <c r="A3" t="s">
        <v>4</v>
      </c>
      <c r="B3">
        <v>60</v>
      </c>
      <c r="C3" t="s">
        <v>25</v>
      </c>
      <c r="D3">
        <v>1</v>
      </c>
      <c r="E3">
        <f>B3*D3</f>
        <v>60</v>
      </c>
    </row>
    <row r="4" spans="1:5" x14ac:dyDescent="0.2">
      <c r="A4" t="s">
        <v>5</v>
      </c>
      <c r="B4">
        <v>10</v>
      </c>
      <c r="C4" t="s">
        <v>25</v>
      </c>
      <c r="D4">
        <v>1</v>
      </c>
      <c r="E4">
        <f>B4*D4</f>
        <v>10</v>
      </c>
    </row>
    <row r="5" spans="1:5" x14ac:dyDescent="0.2">
      <c r="A5" s="4" t="s">
        <v>36</v>
      </c>
    </row>
    <row r="6" spans="1:5" x14ac:dyDescent="0.2">
      <c r="A6" t="s">
        <v>31</v>
      </c>
      <c r="E6">
        <v>20</v>
      </c>
    </row>
    <row r="7" spans="1:5" x14ac:dyDescent="0.2">
      <c r="A7" s="3" t="s">
        <v>20</v>
      </c>
      <c r="B7">
        <v>50</v>
      </c>
      <c r="C7" t="s">
        <v>25</v>
      </c>
      <c r="D7">
        <v>1</v>
      </c>
      <c r="E7">
        <f t="shared" ref="E7:E8" si="0">B7*D7</f>
        <v>50</v>
      </c>
    </row>
    <row r="8" spans="1:5" x14ac:dyDescent="0.2">
      <c r="A8" s="3" t="s">
        <v>21</v>
      </c>
      <c r="B8">
        <v>80</v>
      </c>
      <c r="C8" t="s">
        <v>25</v>
      </c>
      <c r="D8">
        <v>1</v>
      </c>
      <c r="E8">
        <f t="shared" si="0"/>
        <v>80</v>
      </c>
    </row>
    <row r="9" spans="1:5" x14ac:dyDescent="0.2">
      <c r="A9" s="3" t="s">
        <v>6</v>
      </c>
      <c r="B9">
        <v>70</v>
      </c>
      <c r="C9" t="s">
        <v>25</v>
      </c>
      <c r="D9">
        <v>1</v>
      </c>
      <c r="E9">
        <f t="shared" ref="E9:E19" si="1">B9*D9</f>
        <v>70</v>
      </c>
    </row>
    <row r="10" spans="1:5" x14ac:dyDescent="0.2">
      <c r="A10" s="3" t="s">
        <v>7</v>
      </c>
      <c r="B10">
        <v>50</v>
      </c>
      <c r="C10" t="s">
        <v>25</v>
      </c>
      <c r="D10">
        <v>1</v>
      </c>
      <c r="E10">
        <f t="shared" si="1"/>
        <v>50</v>
      </c>
    </row>
    <row r="11" spans="1:5" x14ac:dyDescent="0.2">
      <c r="A11" s="3" t="s">
        <v>42</v>
      </c>
      <c r="B11">
        <v>70</v>
      </c>
      <c r="C11" t="s">
        <v>25</v>
      </c>
      <c r="D11">
        <v>1</v>
      </c>
      <c r="E11">
        <f t="shared" si="1"/>
        <v>70</v>
      </c>
    </row>
    <row r="12" spans="1:5" x14ac:dyDescent="0.2">
      <c r="A12" s="3" t="s">
        <v>39</v>
      </c>
      <c r="B12">
        <v>18</v>
      </c>
      <c r="C12" t="s">
        <v>25</v>
      </c>
      <c r="D12">
        <v>1</v>
      </c>
      <c r="E12">
        <f t="shared" si="1"/>
        <v>18</v>
      </c>
    </row>
    <row r="13" spans="1:5" x14ac:dyDescent="0.2">
      <c r="A13" s="3" t="s">
        <v>48</v>
      </c>
      <c r="B13">
        <v>20</v>
      </c>
      <c r="C13" t="s">
        <v>25</v>
      </c>
      <c r="D13">
        <v>1</v>
      </c>
      <c r="E13">
        <f t="shared" ref="E13" si="2">B13*D13</f>
        <v>20</v>
      </c>
    </row>
    <row r="14" spans="1:5" x14ac:dyDescent="0.2">
      <c r="A14" s="3" t="s">
        <v>37</v>
      </c>
      <c r="B14">
        <v>0.3</v>
      </c>
      <c r="C14" t="s">
        <v>38</v>
      </c>
      <c r="D14">
        <v>1</v>
      </c>
      <c r="E14">
        <f t="shared" si="1"/>
        <v>0.3</v>
      </c>
    </row>
    <row r="15" spans="1:5" x14ac:dyDescent="0.2">
      <c r="A15" s="3" t="s">
        <v>49</v>
      </c>
      <c r="B15">
        <v>0.2</v>
      </c>
      <c r="C15" t="s">
        <v>25</v>
      </c>
      <c r="D15">
        <v>1</v>
      </c>
      <c r="E15">
        <f t="shared" ref="E15" si="3">B15*D15</f>
        <v>0.2</v>
      </c>
    </row>
    <row r="16" spans="1:5" x14ac:dyDescent="0.2">
      <c r="A16" s="4" t="s">
        <v>34</v>
      </c>
    </row>
    <row r="17" spans="1:5" x14ac:dyDescent="0.2">
      <c r="A17" t="s">
        <v>8</v>
      </c>
      <c r="B17">
        <v>1200</v>
      </c>
      <c r="C17" t="s">
        <v>25</v>
      </c>
      <c r="D17" s="1">
        <f>1/60*5</f>
        <v>8.3333333333333329E-2</v>
      </c>
      <c r="E17">
        <f t="shared" si="1"/>
        <v>100</v>
      </c>
    </row>
    <row r="18" spans="1:5" x14ac:dyDescent="0.2">
      <c r="A18" t="s">
        <v>9</v>
      </c>
      <c r="B18">
        <v>2000</v>
      </c>
      <c r="C18" t="s">
        <v>28</v>
      </c>
      <c r="D18">
        <v>0.05</v>
      </c>
      <c r="E18">
        <f t="shared" si="1"/>
        <v>100</v>
      </c>
    </row>
    <row r="19" spans="1:5" x14ac:dyDescent="0.2">
      <c r="A19" t="s">
        <v>10</v>
      </c>
      <c r="B19">
        <v>2500</v>
      </c>
      <c r="C19" t="s">
        <v>25</v>
      </c>
      <c r="D19">
        <v>0.5</v>
      </c>
      <c r="E19">
        <f t="shared" si="1"/>
        <v>1250</v>
      </c>
    </row>
    <row r="20" spans="1:5" x14ac:dyDescent="0.2">
      <c r="A20" t="s">
        <v>46</v>
      </c>
      <c r="E20" s="2">
        <f>100*1000/365</f>
        <v>273.97260273972603</v>
      </c>
    </row>
    <row r="21" spans="1:5" x14ac:dyDescent="0.2">
      <c r="A21" t="s">
        <v>47</v>
      </c>
      <c r="E21" s="2">
        <f>300*1000/365</f>
        <v>821.91780821917803</v>
      </c>
    </row>
    <row r="22" spans="1:5" x14ac:dyDescent="0.2">
      <c r="A22" s="4" t="s">
        <v>43</v>
      </c>
    </row>
    <row r="23" spans="1:5" x14ac:dyDescent="0.2">
      <c r="A23" s="3" t="s">
        <v>44</v>
      </c>
      <c r="B23">
        <v>800</v>
      </c>
      <c r="C23" t="s">
        <v>25</v>
      </c>
      <c r="D23">
        <v>0.16</v>
      </c>
      <c r="E23" s="2">
        <f>300*1000/365</f>
        <v>821.91780821917803</v>
      </c>
    </row>
    <row r="24" spans="1:5" x14ac:dyDescent="0.2">
      <c r="A24" t="s">
        <v>11</v>
      </c>
      <c r="C24" t="s">
        <v>26</v>
      </c>
      <c r="E24">
        <f>60*1000/100</f>
        <v>600</v>
      </c>
    </row>
    <row r="25" spans="1:5" x14ac:dyDescent="0.2">
      <c r="A25" t="s">
        <v>12</v>
      </c>
      <c r="C25" t="s">
        <v>26</v>
      </c>
      <c r="E25">
        <v>4000</v>
      </c>
    </row>
    <row r="26" spans="1:5" x14ac:dyDescent="0.2">
      <c r="A26" t="s">
        <v>13</v>
      </c>
      <c r="C26" t="s">
        <v>26</v>
      </c>
      <c r="E26">
        <v>1500</v>
      </c>
    </row>
    <row r="27" spans="1:5" x14ac:dyDescent="0.2">
      <c r="A27" t="s">
        <v>45</v>
      </c>
      <c r="B27">
        <v>2000</v>
      </c>
      <c r="C27" t="s">
        <v>25</v>
      </c>
      <c r="D27">
        <v>0.16</v>
      </c>
      <c r="E27">
        <v>1500</v>
      </c>
    </row>
    <row r="28" spans="1:5" x14ac:dyDescent="0.2">
      <c r="A28" s="4" t="s">
        <v>32</v>
      </c>
    </row>
    <row r="29" spans="1:5" x14ac:dyDescent="0.2">
      <c r="A29" t="s">
        <v>40</v>
      </c>
      <c r="B29">
        <v>1750</v>
      </c>
      <c r="C29" t="s">
        <v>25</v>
      </c>
      <c r="D29">
        <v>0.08</v>
      </c>
      <c r="E29">
        <f>B29*D29</f>
        <v>140</v>
      </c>
    </row>
    <row r="30" spans="1:5" x14ac:dyDescent="0.2">
      <c r="A30" t="s">
        <v>19</v>
      </c>
      <c r="B30">
        <v>10000</v>
      </c>
      <c r="C30" t="s">
        <v>25</v>
      </c>
      <c r="D30">
        <v>0.16</v>
      </c>
      <c r="E30">
        <f>B30*D30</f>
        <v>1600</v>
      </c>
    </row>
    <row r="31" spans="1:5" x14ac:dyDescent="0.2">
      <c r="A31" t="s">
        <v>14</v>
      </c>
      <c r="B31">
        <v>50</v>
      </c>
      <c r="C31" t="s">
        <v>25</v>
      </c>
      <c r="D31">
        <v>1</v>
      </c>
      <c r="E31">
        <f>B31*D31</f>
        <v>50</v>
      </c>
    </row>
    <row r="32" spans="1:5" x14ac:dyDescent="0.2">
      <c r="A32" s="3" t="s">
        <v>22</v>
      </c>
      <c r="B32">
        <v>1000</v>
      </c>
      <c r="C32" t="s">
        <v>25</v>
      </c>
    </row>
    <row r="33" spans="1:5" x14ac:dyDescent="0.2">
      <c r="A33" s="3" t="s">
        <v>23</v>
      </c>
      <c r="B33">
        <v>3000</v>
      </c>
      <c r="C33" t="s">
        <v>25</v>
      </c>
    </row>
    <row r="34" spans="1:5" x14ac:dyDescent="0.2">
      <c r="A34" s="3" t="s">
        <v>16</v>
      </c>
      <c r="B34">
        <v>1000</v>
      </c>
      <c r="C34" t="s">
        <v>25</v>
      </c>
      <c r="D34">
        <v>1</v>
      </c>
      <c r="E34">
        <f>B34*D34</f>
        <v>1000</v>
      </c>
    </row>
    <row r="35" spans="1:5" x14ac:dyDescent="0.2">
      <c r="A35" s="3" t="s">
        <v>17</v>
      </c>
      <c r="B35">
        <v>3000</v>
      </c>
      <c r="C35" t="s">
        <v>25</v>
      </c>
      <c r="D35">
        <v>1</v>
      </c>
      <c r="E35">
        <f>B35*D35</f>
        <v>3000</v>
      </c>
    </row>
    <row r="36" spans="1:5" x14ac:dyDescent="0.2">
      <c r="A36" s="3" t="s">
        <v>18</v>
      </c>
      <c r="B36">
        <v>4000</v>
      </c>
      <c r="C36" t="s">
        <v>25</v>
      </c>
      <c r="E36" s="2">
        <f>'[1]Heating calculations'!B5*1000</f>
        <v>10958.904109589041</v>
      </c>
    </row>
    <row r="37" spans="1:5" x14ac:dyDescent="0.2">
      <c r="A37" s="3" t="s">
        <v>15</v>
      </c>
      <c r="C37" t="s">
        <v>25</v>
      </c>
      <c r="E37" s="2">
        <f>'[1]Heating calculations'!B10*1000</f>
        <v>32876.712328767127</v>
      </c>
    </row>
    <row r="38" spans="1:5" x14ac:dyDescent="0.2">
      <c r="A38" s="4" t="s">
        <v>33</v>
      </c>
    </row>
    <row r="39" spans="1:5" x14ac:dyDescent="0.2">
      <c r="A39" s="3" t="s">
        <v>41</v>
      </c>
      <c r="B39">
        <v>2.5</v>
      </c>
      <c r="C39" t="s">
        <v>27</v>
      </c>
    </row>
    <row r="40" spans="1:5" x14ac:dyDescent="0.2">
      <c r="A40" t="s">
        <v>29</v>
      </c>
      <c r="B40">
        <v>2.6</v>
      </c>
      <c r="C40" t="s">
        <v>27</v>
      </c>
    </row>
    <row r="41" spans="1:5" x14ac:dyDescent="0.2">
      <c r="A41" t="s">
        <v>30</v>
      </c>
      <c r="B41">
        <v>300</v>
      </c>
      <c r="C4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Ritchie</dc:creator>
  <cp:lastModifiedBy>Hannah Ritchie</cp:lastModifiedBy>
  <dcterms:created xsi:type="dcterms:W3CDTF">2026-02-04T06:37:10Z</dcterms:created>
  <dcterms:modified xsi:type="dcterms:W3CDTF">2026-02-09T17:41:41Z</dcterms:modified>
</cp:coreProperties>
</file>